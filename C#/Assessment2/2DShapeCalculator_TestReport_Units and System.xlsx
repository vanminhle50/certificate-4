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D:\Holmesglen - Certificate IV\certificate-4\Test software development\"/>
    </mc:Choice>
  </mc:AlternateContent>
  <xr:revisionPtr revIDLastSave="0" documentId="13_ncr:1_{3B28AD3E-31D4-45AF-BDF2-0E925F4F3084}" xr6:coauthVersionLast="47" xr6:coauthVersionMax="47" xr10:uidLastSave="{00000000-0000-0000-0000-000000000000}"/>
  <bookViews>
    <workbookView xWindow="14955" yWindow="0" windowWidth="23550" windowHeight="20985" xr2:uid="{00000000-000D-0000-FFFF-FFFF00000000}"/>
  </bookViews>
  <sheets>
    <sheet name="Project Info" sheetId="1" r:id="rId1"/>
    <sheet name="Unit Test" sheetId="4" r:id="rId2"/>
    <sheet name="System Test" sheetId="7" r:id="rId3"/>
  </sheets>
  <definedNames>
    <definedName name="_Toc130901853_6">'Unit Test'!#REF!</definedName>
    <definedName name="Author">"$#REF!.$#REF!$#REF!"</definedName>
    <definedName name="CRFixingList">"$#REF!.$B$1:$N$65536"</definedName>
    <definedName name="Department">"$#REF!.$#REF!$#REF!"</definedName>
    <definedName name="Issue_Date">"$#REF!.$I$23"</definedName>
    <definedName name="Project">"$#REF!.$I$21"</definedName>
    <definedName name="Projects">"$#REF!.$I$25"</definedName>
    <definedName name="Status">"$#REF!.$I$24"</definedName>
    <definedName name="Subject">"$#REF!.$C$15"</definedName>
    <definedName name="Title">"$#REF!.$C$14"</definedName>
    <definedName name="Version">"$#REF!.$N$16"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" i="7" l="1"/>
  <c r="G8" i="7" s="1"/>
  <c r="G6" i="4"/>
  <c r="G8" i="4" s="1"/>
</calcChain>
</file>

<file path=xl/sharedStrings.xml><?xml version="1.0" encoding="utf-8"?>
<sst xmlns="http://schemas.openxmlformats.org/spreadsheetml/2006/main" count="108" uniqueCount="64">
  <si>
    <t>Version:  1.0</t>
  </si>
  <si>
    <t>Author:</t>
  </si>
  <si>
    <t>Description</t>
  </si>
  <si>
    <t xml:space="preserve"> Test Report</t>
  </si>
  <si>
    <t>EXECUTED</t>
  </si>
  <si>
    <t>PASSED</t>
  </si>
  <si>
    <t>FAILED</t>
  </si>
  <si>
    <t>(Total) TESTS EXECUTED
(PASSED + FAILED)</t>
  </si>
  <si>
    <t>Status</t>
  </si>
  <si>
    <t>Remarks</t>
  </si>
  <si>
    <t>Test Case ID</t>
  </si>
  <si>
    <t>Priority</t>
  </si>
  <si>
    <t>Open date</t>
  </si>
  <si>
    <t>Project Information</t>
  </si>
  <si>
    <t>Project Name</t>
  </si>
  <si>
    <t>Functions</t>
  </si>
  <si>
    <t>% TCs Executed</t>
  </si>
  <si>
    <t>% TCs Passed</t>
  </si>
  <si>
    <t>High</t>
  </si>
  <si>
    <t>Severity</t>
  </si>
  <si>
    <t>Raised By</t>
  </si>
  <si>
    <t>Tested on Version</t>
  </si>
  <si>
    <t>Steps to Reproduce</t>
  </si>
  <si>
    <t>Expected Results</t>
  </si>
  <si>
    <t>Actual Results</t>
  </si>
  <si>
    <t>Bug description</t>
  </si>
  <si>
    <t>TCs pending</t>
  </si>
  <si>
    <t>Number of defects</t>
  </si>
  <si>
    <t>Test Report</t>
  </si>
  <si>
    <t>Test Date:</t>
  </si>
  <si>
    <t>Pending</t>
  </si>
  <si>
    <t>(EXECUTED + PENDING)</t>
  </si>
  <si>
    <t>NA</t>
  </si>
  <si>
    <t>CR ID</t>
  </si>
  <si>
    <t>public method Circle.Perimeter()</t>
  </si>
  <si>
    <t>Circle.Perimeter()</t>
  </si>
  <si>
    <t>Circle.Area()</t>
  </si>
  <si>
    <t>public method Circle.Area()</t>
  </si>
  <si>
    <t>Rectangle.Perimeter()</t>
  </si>
  <si>
    <t>public method Rectangle.Perimeter()</t>
  </si>
  <si>
    <t>Rectangle.Area()</t>
  </si>
  <si>
    <t>public method Rectangle.Area()</t>
  </si>
  <si>
    <t>Square.Perimeter()</t>
  </si>
  <si>
    <t>public method Square.Perimeter()</t>
  </si>
  <si>
    <t>Square.Area()</t>
  </si>
  <si>
    <t>public method Square.Area()</t>
  </si>
  <si>
    <t>Trapezoid.Perimeter()</t>
  </si>
  <si>
    <t>public method Trapezoid.Perimeter()</t>
  </si>
  <si>
    <t>Trapezoid.Area()</t>
  </si>
  <si>
    <t>public method Trapezoid.Area()</t>
  </si>
  <si>
    <t>2D Shape Calculator</t>
  </si>
  <si>
    <t>Unit test and system test for the application "2D Shape Calculator"</t>
  </si>
  <si>
    <t>Van Minh Le</t>
  </si>
  <si>
    <t>System Input Validation</t>
  </si>
  <si>
    <t>Validate menu options and shape inputs</t>
  </si>
  <si>
    <t>System Flow Control</t>
  </si>
  <si>
    <t>Menu navigation and repeat/retry logic</t>
  </si>
  <si>
    <t>Medium</t>
  </si>
  <si>
    <t>Exit Program Option</t>
  </si>
  <si>
    <t>User selects Exit from menu</t>
  </si>
  <si>
    <t>Low</t>
  </si>
  <si>
    <t>Exits as expected</t>
  </si>
  <si>
    <t>Navigation tested (valid/invalid inputs), retry prompts shown</t>
  </si>
  <si>
    <t>All invalid and valid inputs tested 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</si>
</sst>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10"/>
      <name val="Arial"/>
      <family val="2"/>
    </font>
    <font>
      <b/>
      <sz val="12"/>
      <color indexed="12"/>
      <name val="Arial"/>
      <family val="2"/>
    </font>
    <font>
      <b/>
      <sz val="18"/>
      <color indexed="18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i/>
      <sz val="10"/>
      <color indexed="12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i/>
      <sz val="1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Verdana"/>
      <family val="2"/>
    </font>
    <font>
      <sz val="10"/>
      <color theme="0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10"/>
      <name val="Arial"/>
      <family val="2"/>
      <charset val="163"/>
    </font>
  </fonts>
  <fills count="8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32"/>
      </patternFill>
    </fill>
    <fill>
      <patternFill patternType="solid">
        <fgColor rgb="FF3D85C6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vertical="top"/>
    </xf>
    <xf numFmtId="0" fontId="15" fillId="5" borderId="5" xfId="0" applyFont="1" applyFill="1" applyBorder="1" applyAlignment="1">
      <alignment horizontal="center" vertical="top" wrapText="1"/>
    </xf>
    <xf numFmtId="0" fontId="0" fillId="0" borderId="10" xfId="0" applyBorder="1"/>
    <xf numFmtId="0" fontId="0" fillId="0" borderId="11" xfId="0" applyBorder="1"/>
    <xf numFmtId="0" fontId="1" fillId="0" borderId="17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8" fillId="6" borderId="4" xfId="0" applyFont="1" applyFill="1" applyBorder="1" applyAlignment="1">
      <alignment horizontal="center" wrapText="1" readingOrder="1"/>
    </xf>
    <xf numFmtId="0" fontId="0" fillId="0" borderId="23" xfId="0" applyBorder="1" applyAlignment="1">
      <alignment horizontal="center"/>
    </xf>
    <xf numFmtId="0" fontId="19" fillId="0" borderId="11" xfId="0" applyFont="1" applyBorder="1" applyAlignment="1">
      <alignment horizontal="left" wrapText="1" readingOrder="1"/>
    </xf>
    <xf numFmtId="0" fontId="17" fillId="0" borderId="11" xfId="0" applyFont="1" applyBorder="1" applyAlignment="1">
      <alignment horizontal="left" wrapText="1" readingOrder="1"/>
    </xf>
    <xf numFmtId="0" fontId="16" fillId="0" borderId="2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0" fillId="0" borderId="12" xfId="0" applyBorder="1"/>
    <xf numFmtId="0" fontId="20" fillId="7" borderId="0" xfId="0" applyFont="1" applyFill="1"/>
    <xf numFmtId="0" fontId="15" fillId="5" borderId="6" xfId="0" applyFont="1" applyFill="1" applyBorder="1" applyAlignment="1">
      <alignment horizontal="center" vertical="top" wrapText="1"/>
    </xf>
    <xf numFmtId="0" fontId="15" fillId="5" borderId="7" xfId="0" applyFont="1" applyFill="1" applyBorder="1" applyAlignment="1">
      <alignment horizontal="center" vertical="top" wrapText="1"/>
    </xf>
    <xf numFmtId="0" fontId="8" fillId="2" borderId="34" xfId="0" applyFont="1" applyFill="1" applyBorder="1" applyAlignment="1">
      <alignment vertical="center" wrapText="1"/>
    </xf>
    <xf numFmtId="0" fontId="8" fillId="2" borderId="36" xfId="0" applyFont="1" applyFill="1" applyBorder="1" applyAlignment="1">
      <alignment vertical="center" wrapText="1"/>
    </xf>
    <xf numFmtId="0" fontId="15" fillId="0" borderId="0" xfId="0" applyFont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21" fillId="0" borderId="14" xfId="0" applyFont="1" applyBorder="1" applyAlignment="1">
      <alignment vertical="top" wrapText="1"/>
    </xf>
    <xf numFmtId="0" fontId="22" fillId="0" borderId="15" xfId="0" applyFont="1" applyBorder="1" applyAlignment="1">
      <alignment vertical="top" wrapText="1"/>
    </xf>
    <xf numFmtId="0" fontId="8" fillId="0" borderId="16" xfId="0" applyFont="1" applyBorder="1" applyAlignment="1">
      <alignment horizontal="right" vertical="top" wrapText="1"/>
    </xf>
    <xf numFmtId="0" fontId="1" fillId="3" borderId="9" xfId="0" applyFont="1" applyFill="1" applyBorder="1" applyAlignment="1">
      <alignment horizontal="right" vertical="top" wrapText="1"/>
    </xf>
    <xf numFmtId="0" fontId="8" fillId="0" borderId="12" xfId="0" applyFont="1" applyBorder="1" applyAlignment="1">
      <alignment horizontal="right" vertical="top" wrapText="1"/>
    </xf>
    <xf numFmtId="0" fontId="1" fillId="0" borderId="24" xfId="0" applyFont="1" applyBorder="1" applyAlignment="1">
      <alignment horizontal="center" vertical="center" wrapText="1"/>
    </xf>
    <xf numFmtId="14" fontId="1" fillId="0" borderId="20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left" vertical="center" wrapText="1" readingOrder="1"/>
    </xf>
    <xf numFmtId="0" fontId="13" fillId="0" borderId="0" xfId="0" applyFont="1" applyAlignment="1">
      <alignment horizontal="left" wrapText="1"/>
    </xf>
    <xf numFmtId="0" fontId="1" fillId="0" borderId="3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15" fontId="1" fillId="0" borderId="3" xfId="0" applyNumberFormat="1" applyFont="1" applyBorder="1" applyAlignment="1">
      <alignment horizontal="left" vertical="center" wrapText="1"/>
    </xf>
    <xf numFmtId="15" fontId="1" fillId="0" borderId="35" xfId="0" applyNumberFormat="1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top" wrapText="1"/>
    </xf>
    <xf numFmtId="0" fontId="15" fillId="5" borderId="29" xfId="0" applyFont="1" applyFill="1" applyBorder="1" applyAlignment="1">
      <alignment horizontal="center" vertical="top" wrapText="1"/>
    </xf>
    <xf numFmtId="0" fontId="15" fillId="5" borderId="30" xfId="0" applyFont="1" applyFill="1" applyBorder="1" applyAlignment="1">
      <alignment horizontal="center" vertical="top" wrapText="1"/>
    </xf>
    <xf numFmtId="0" fontId="15" fillId="5" borderId="28" xfId="0" applyFont="1" applyFill="1" applyBorder="1" applyAlignment="1">
      <alignment horizontal="center" vertical="top" wrapText="1"/>
    </xf>
    <xf numFmtId="0" fontId="15" fillId="5" borderId="19" xfId="0" applyFont="1" applyFill="1" applyBorder="1" applyAlignment="1">
      <alignment horizontal="center" vertical="top" wrapText="1"/>
    </xf>
    <xf numFmtId="0" fontId="15" fillId="5" borderId="27" xfId="0" applyFont="1" applyFill="1" applyBorder="1" applyAlignment="1">
      <alignment horizontal="center" vertical="top" wrapText="1"/>
    </xf>
    <xf numFmtId="0" fontId="15" fillId="5" borderId="20" xfId="0" applyFont="1" applyFill="1" applyBorder="1" applyAlignment="1">
      <alignment horizontal="center" vertical="top" wrapText="1"/>
    </xf>
    <xf numFmtId="0" fontId="15" fillId="5" borderId="6" xfId="0" applyFont="1" applyFill="1" applyBorder="1" applyAlignment="1">
      <alignment horizontal="center" vertical="top" wrapText="1"/>
    </xf>
    <xf numFmtId="0" fontId="15" fillId="5" borderId="4" xfId="0" applyFont="1" applyFill="1" applyBorder="1" applyAlignment="1">
      <alignment horizontal="center" vertical="top" wrapText="1"/>
    </xf>
    <xf numFmtId="0" fontId="16" fillId="0" borderId="10" xfId="0" applyFont="1" applyBorder="1" applyAlignment="1">
      <alignment vertical="top" wrapText="1"/>
    </xf>
    <xf numFmtId="0" fontId="16" fillId="0" borderId="11" xfId="0" applyFont="1" applyBorder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16" fillId="0" borderId="8" xfId="0" applyFont="1" applyBorder="1" applyAlignment="1">
      <alignment vertical="top" wrapText="1"/>
    </xf>
    <xf numFmtId="0" fontId="16" fillId="0" borderId="4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29" xfId="0" applyFont="1" applyBorder="1" applyAlignment="1">
      <alignment horizontal="left" vertical="top" wrapText="1"/>
    </xf>
    <xf numFmtId="0" fontId="21" fillId="0" borderId="30" xfId="0" applyFont="1" applyBorder="1" applyAlignment="1">
      <alignment horizontal="left" vertical="top" wrapText="1"/>
    </xf>
    <xf numFmtId="0" fontId="22" fillId="0" borderId="15" xfId="0" applyFont="1" applyBorder="1" applyAlignment="1">
      <alignment horizontal="left" vertical="top" wrapText="1"/>
    </xf>
    <xf numFmtId="0" fontId="22" fillId="0" borderId="39" xfId="0" applyFont="1" applyBorder="1" applyAlignment="1">
      <alignment horizontal="left" vertical="top" wrapText="1"/>
    </xf>
    <xf numFmtId="0" fontId="22" fillId="0" borderId="25" xfId="0" applyFont="1" applyBorder="1" applyAlignment="1">
      <alignment horizontal="left" vertical="top" wrapText="1"/>
    </xf>
    <xf numFmtId="0" fontId="15" fillId="5" borderId="7" xfId="0" applyFont="1" applyFill="1" applyBorder="1" applyAlignment="1">
      <alignment horizontal="center" vertical="top" wrapText="1"/>
    </xf>
    <xf numFmtId="0" fontId="15" fillId="5" borderId="9" xfId="0" applyFont="1" applyFill="1" applyBorder="1" applyAlignment="1">
      <alignment horizontal="center" vertical="top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9" fontId="0" fillId="0" borderId="4" xfId="0" applyNumberForma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9" fontId="0" fillId="0" borderId="11" xfId="0" applyNumberForma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3" fillId="0" borderId="8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9" fontId="23" fillId="0" borderId="4" xfId="0" applyNumberFormat="1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4"/>
  <sheetViews>
    <sheetView showGridLines="0" tabSelected="1" topLeftCell="A3" workbookViewId="0">
      <selection activeCell="G14" sqref="G14"/>
    </sheetView>
  </sheetViews>
  <sheetFormatPr defaultRowHeight="12.75" x14ac:dyDescent="0.2"/>
  <cols>
    <col min="1" max="1" width="1.140625" style="1" customWidth="1"/>
    <col min="2" max="2" width="24.140625" style="1" customWidth="1"/>
    <col min="3" max="3" width="16.85546875" style="1" customWidth="1"/>
    <col min="4" max="4" width="33.85546875" style="1" customWidth="1"/>
    <col min="5" max="5" width="20.5703125" style="1" customWidth="1"/>
    <col min="6" max="16384" width="9.140625" style="1"/>
  </cols>
  <sheetData>
    <row r="1" spans="2:6" ht="38.25" customHeight="1" x14ac:dyDescent="0.2">
      <c r="B1" s="2"/>
      <c r="C1" s="56"/>
      <c r="D1" s="56"/>
      <c r="E1" s="56"/>
    </row>
    <row r="2" spans="2:6" ht="30.75" customHeight="1" x14ac:dyDescent="0.2">
      <c r="B2" s="57" t="s">
        <v>28</v>
      </c>
      <c r="C2" s="57"/>
      <c r="D2" s="57"/>
      <c r="E2" s="57"/>
    </row>
    <row r="3" spans="2:6" ht="21" customHeight="1" x14ac:dyDescent="0.2">
      <c r="B3" s="3"/>
      <c r="C3" s="58" t="s">
        <v>0</v>
      </c>
      <c r="D3" s="58"/>
      <c r="E3" s="58"/>
    </row>
    <row r="4" spans="2:6" ht="22.5" customHeight="1" x14ac:dyDescent="0.2">
      <c r="B4" s="3"/>
    </row>
    <row r="5" spans="2:6" ht="22.5" customHeight="1" thickBot="1" x14ac:dyDescent="0.25">
      <c r="B5" s="3"/>
      <c r="C5" s="4"/>
      <c r="D5" s="4"/>
      <c r="E5" s="4"/>
    </row>
    <row r="6" spans="2:6" ht="18.75" customHeight="1" x14ac:dyDescent="0.2">
      <c r="B6" s="59" t="s">
        <v>13</v>
      </c>
      <c r="C6" s="60"/>
      <c r="D6" s="60"/>
      <c r="E6" s="61"/>
    </row>
    <row r="7" spans="2:6" ht="16.5" customHeight="1" x14ac:dyDescent="0.2">
      <c r="B7" s="35" t="s">
        <v>14</v>
      </c>
      <c r="C7" s="50" t="s">
        <v>50</v>
      </c>
      <c r="D7" s="50"/>
      <c r="E7" s="51"/>
    </row>
    <row r="8" spans="2:6" ht="16.5" customHeight="1" x14ac:dyDescent="0.2">
      <c r="B8" s="35" t="s">
        <v>2</v>
      </c>
      <c r="C8" s="50" t="s">
        <v>51</v>
      </c>
      <c r="D8" s="50"/>
      <c r="E8" s="51"/>
    </row>
    <row r="9" spans="2:6" ht="15.75" customHeight="1" x14ac:dyDescent="0.2">
      <c r="B9" s="35" t="s">
        <v>29</v>
      </c>
      <c r="C9" s="52">
        <v>45795</v>
      </c>
      <c r="D9" s="52"/>
      <c r="E9" s="53"/>
    </row>
    <row r="10" spans="2:6" ht="15.75" customHeight="1" thickBot="1" x14ac:dyDescent="0.25">
      <c r="B10" s="36" t="s">
        <v>1</v>
      </c>
      <c r="C10" s="54" t="s">
        <v>52</v>
      </c>
      <c r="D10" s="54"/>
      <c r="E10" s="55"/>
    </row>
    <row r="11" spans="2:6" ht="15" x14ac:dyDescent="0.2">
      <c r="B11" s="5"/>
      <c r="C11" s="5"/>
    </row>
    <row r="12" spans="2:6" x14ac:dyDescent="0.2">
      <c r="B12" s="6"/>
      <c r="C12" s="7"/>
      <c r="D12" s="8"/>
      <c r="E12" s="8"/>
    </row>
    <row r="13" spans="2:6" ht="18" x14ac:dyDescent="0.25">
      <c r="C13" s="9"/>
      <c r="D13" s="9"/>
      <c r="E13" s="10"/>
      <c r="F13" s="10"/>
    </row>
    <row r="14" spans="2:6" ht="36.75" customHeight="1" x14ac:dyDescent="0.2">
      <c r="B14" s="49"/>
      <c r="C14" s="49"/>
      <c r="D14" s="49"/>
      <c r="E14" s="49"/>
    </row>
  </sheetData>
  <mergeCells count="9">
    <mergeCell ref="C1:E1"/>
    <mergeCell ref="B2:E2"/>
    <mergeCell ref="C3:E3"/>
    <mergeCell ref="B6:E6"/>
    <mergeCell ref="B14:E14"/>
    <mergeCell ref="C8:E8"/>
    <mergeCell ref="C9:E9"/>
    <mergeCell ref="C10:E10"/>
    <mergeCell ref="C7:E7"/>
  </mergeCells>
  <pageMargins left="0.5" right="0.3298611111111111" top="0.98402777777777783" bottom="0.98402777777777772" header="0.51180555555555562" footer="0.5"/>
  <pageSetup firstPageNumber="0" orientation="portrait" horizontalDpi="300" verticalDpi="300"/>
  <headerFooter alignWithMargins="0">
    <oddFooter>&amp;L&lt;Confidential Level&gt;&amp;CTMA Solutions&amp;RPage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5"/>
  <sheetViews>
    <sheetView showGridLines="0" zoomScale="85" zoomScaleNormal="85" workbookViewId="0">
      <selection activeCell="G12" sqref="G12"/>
    </sheetView>
  </sheetViews>
  <sheetFormatPr defaultRowHeight="12.75" x14ac:dyDescent="0.2"/>
  <cols>
    <col min="1" max="1" width="1" customWidth="1"/>
    <col min="2" max="2" width="20.140625" customWidth="1"/>
    <col min="3" max="3" width="30.85546875" customWidth="1"/>
    <col min="4" max="4" width="28.28515625" customWidth="1"/>
    <col min="5" max="5" width="30.85546875" customWidth="1"/>
    <col min="6" max="6" width="16.5703125" customWidth="1"/>
    <col min="7" max="7" width="13.140625" customWidth="1"/>
    <col min="8" max="8" width="16.28515625" customWidth="1"/>
    <col min="9" max="10" width="12.42578125" customWidth="1"/>
    <col min="11" max="11" width="12.140625" customWidth="1"/>
    <col min="12" max="12" width="11.42578125" customWidth="1"/>
  </cols>
  <sheetData>
    <row r="1" spans="2:12" ht="13.5" thickBot="1" x14ac:dyDescent="0.25"/>
    <row r="2" spans="2:12" ht="31.5" customHeight="1" thickBot="1" x14ac:dyDescent="0.25">
      <c r="B2" s="62" t="s">
        <v>3</v>
      </c>
      <c r="C2" s="62"/>
      <c r="D2" s="62"/>
      <c r="E2" s="62"/>
      <c r="F2" s="62"/>
      <c r="G2" s="62"/>
      <c r="H2" s="62"/>
    </row>
    <row r="3" spans="2:12" ht="13.5" thickBot="1" x14ac:dyDescent="0.25"/>
    <row r="4" spans="2:12" x14ac:dyDescent="0.2">
      <c r="B4" s="74" t="s">
        <v>4</v>
      </c>
      <c r="C4" s="79" t="s">
        <v>5</v>
      </c>
      <c r="D4" s="80"/>
      <c r="E4" s="81"/>
      <c r="F4" s="39">
        <v>24</v>
      </c>
      <c r="G4" s="15"/>
    </row>
    <row r="5" spans="2:12" ht="13.5" thickBot="1" x14ac:dyDescent="0.25">
      <c r="B5" s="75"/>
      <c r="C5" s="82" t="s">
        <v>6</v>
      </c>
      <c r="D5" s="83"/>
      <c r="E5" s="84"/>
      <c r="F5" s="40">
        <v>0</v>
      </c>
      <c r="G5" s="16"/>
    </row>
    <row r="6" spans="2:12" ht="25.5" customHeight="1" x14ac:dyDescent="0.2">
      <c r="B6" s="75"/>
      <c r="C6" s="76" t="s">
        <v>7</v>
      </c>
      <c r="D6" s="76"/>
      <c r="E6" s="76"/>
      <c r="F6" s="76"/>
      <c r="G6" s="41">
        <f>F4+F5</f>
        <v>24</v>
      </c>
      <c r="I6" s="1"/>
      <c r="J6" s="1"/>
      <c r="K6" s="1"/>
      <c r="L6" s="1"/>
    </row>
    <row r="7" spans="2:12" x14ac:dyDescent="0.2">
      <c r="B7" s="77" t="s">
        <v>30</v>
      </c>
      <c r="C7" s="78"/>
      <c r="D7" s="78"/>
      <c r="E7" s="78"/>
      <c r="F7" s="78"/>
      <c r="G7" s="42">
        <v>0</v>
      </c>
      <c r="I7" s="1"/>
      <c r="J7" s="32"/>
      <c r="K7" s="32"/>
      <c r="L7" s="1"/>
    </row>
    <row r="8" spans="2:12" ht="22.5" customHeight="1" thickBot="1" x14ac:dyDescent="0.25">
      <c r="B8" s="72" t="s">
        <v>31</v>
      </c>
      <c r="C8" s="73"/>
      <c r="D8" s="73"/>
      <c r="E8" s="73"/>
      <c r="F8" s="73"/>
      <c r="G8" s="43">
        <f>SUM(G6:G7)</f>
        <v>24</v>
      </c>
      <c r="I8" s="1"/>
      <c r="J8" s="1"/>
      <c r="K8" s="1"/>
      <c r="L8" s="1"/>
    </row>
    <row r="10" spans="2:12" ht="13.5" thickBot="1" x14ac:dyDescent="0.25"/>
    <row r="11" spans="2:12" ht="36.75" customHeight="1" x14ac:dyDescent="0.2">
      <c r="B11" s="12" t="s">
        <v>15</v>
      </c>
      <c r="C11" s="33" t="s">
        <v>2</v>
      </c>
      <c r="D11" s="33" t="s">
        <v>16</v>
      </c>
      <c r="E11" s="33" t="s">
        <v>17</v>
      </c>
      <c r="F11" s="33" t="s">
        <v>26</v>
      </c>
      <c r="G11" s="33" t="s">
        <v>11</v>
      </c>
      <c r="H11" s="33" t="s">
        <v>9</v>
      </c>
      <c r="I11" s="34" t="s">
        <v>27</v>
      </c>
      <c r="J11" s="37"/>
      <c r="K11" s="37"/>
    </row>
    <row r="12" spans="2:12" ht="30.75" customHeight="1" x14ac:dyDescent="0.2">
      <c r="B12" s="87" t="s">
        <v>35</v>
      </c>
      <c r="C12" s="88" t="s">
        <v>34</v>
      </c>
      <c r="D12" s="89">
        <v>1</v>
      </c>
      <c r="E12" s="89">
        <v>1</v>
      </c>
      <c r="F12" s="89">
        <v>0</v>
      </c>
      <c r="G12" s="88" t="s">
        <v>18</v>
      </c>
      <c r="H12" s="88" t="s">
        <v>32</v>
      </c>
      <c r="I12" s="90">
        <v>0</v>
      </c>
      <c r="J12" s="38"/>
      <c r="K12" s="38"/>
    </row>
    <row r="13" spans="2:12" ht="30.75" customHeight="1" x14ac:dyDescent="0.2">
      <c r="B13" s="87" t="s">
        <v>36</v>
      </c>
      <c r="C13" s="88" t="s">
        <v>37</v>
      </c>
      <c r="D13" s="89">
        <v>1</v>
      </c>
      <c r="E13" s="89">
        <v>1</v>
      </c>
      <c r="F13" s="89">
        <v>0</v>
      </c>
      <c r="G13" s="88" t="s">
        <v>18</v>
      </c>
      <c r="H13" s="88" t="s">
        <v>32</v>
      </c>
      <c r="I13" s="90">
        <v>0</v>
      </c>
    </row>
    <row r="14" spans="2:12" ht="30.75" customHeight="1" x14ac:dyDescent="0.2">
      <c r="B14" s="87" t="s">
        <v>38</v>
      </c>
      <c r="C14" s="88" t="s">
        <v>39</v>
      </c>
      <c r="D14" s="89">
        <v>1</v>
      </c>
      <c r="E14" s="89">
        <v>1</v>
      </c>
      <c r="F14" s="89">
        <v>0</v>
      </c>
      <c r="G14" s="88" t="s">
        <v>18</v>
      </c>
      <c r="H14" s="88" t="s">
        <v>32</v>
      </c>
      <c r="I14" s="90">
        <v>0</v>
      </c>
    </row>
    <row r="15" spans="2:12" ht="30.75" customHeight="1" x14ac:dyDescent="0.2">
      <c r="B15" s="87" t="s">
        <v>40</v>
      </c>
      <c r="C15" s="88" t="s">
        <v>41</v>
      </c>
      <c r="D15" s="89">
        <v>1</v>
      </c>
      <c r="E15" s="89">
        <v>1</v>
      </c>
      <c r="F15" s="89">
        <v>0</v>
      </c>
      <c r="G15" s="88" t="s">
        <v>18</v>
      </c>
      <c r="H15" s="88" t="s">
        <v>32</v>
      </c>
      <c r="I15" s="90">
        <v>0</v>
      </c>
    </row>
    <row r="16" spans="2:12" ht="30.75" customHeight="1" x14ac:dyDescent="0.2">
      <c r="B16" s="87" t="s">
        <v>42</v>
      </c>
      <c r="C16" s="88" t="s">
        <v>43</v>
      </c>
      <c r="D16" s="89">
        <v>1</v>
      </c>
      <c r="E16" s="89">
        <v>1</v>
      </c>
      <c r="F16" s="89">
        <v>0</v>
      </c>
      <c r="G16" s="88" t="s">
        <v>18</v>
      </c>
      <c r="H16" s="88" t="s">
        <v>32</v>
      </c>
      <c r="I16" s="90">
        <v>0</v>
      </c>
    </row>
    <row r="17" spans="2:12" ht="30.75" customHeight="1" x14ac:dyDescent="0.2">
      <c r="B17" s="87" t="s">
        <v>44</v>
      </c>
      <c r="C17" s="88" t="s">
        <v>45</v>
      </c>
      <c r="D17" s="89">
        <v>1</v>
      </c>
      <c r="E17" s="89">
        <v>1</v>
      </c>
      <c r="F17" s="89">
        <v>0</v>
      </c>
      <c r="G17" s="88" t="s">
        <v>18</v>
      </c>
      <c r="H17" s="88" t="s">
        <v>32</v>
      </c>
      <c r="I17" s="90">
        <v>0</v>
      </c>
    </row>
    <row r="18" spans="2:12" ht="30.75" customHeight="1" x14ac:dyDescent="0.2">
      <c r="B18" s="87" t="s">
        <v>46</v>
      </c>
      <c r="C18" s="88" t="s">
        <v>47</v>
      </c>
      <c r="D18" s="89">
        <v>1</v>
      </c>
      <c r="E18" s="89">
        <v>1</v>
      </c>
      <c r="F18" s="89">
        <v>0</v>
      </c>
      <c r="G18" s="88" t="s">
        <v>18</v>
      </c>
      <c r="H18" s="88" t="s">
        <v>32</v>
      </c>
      <c r="I18" s="90">
        <v>0</v>
      </c>
    </row>
    <row r="19" spans="2:12" ht="30.75" customHeight="1" thickBot="1" x14ac:dyDescent="0.25">
      <c r="B19" s="91" t="s">
        <v>48</v>
      </c>
      <c r="C19" s="92" t="s">
        <v>49</v>
      </c>
      <c r="D19" s="93">
        <v>1</v>
      </c>
      <c r="E19" s="93">
        <v>1</v>
      </c>
      <c r="F19" s="93">
        <v>0</v>
      </c>
      <c r="G19" s="92" t="s">
        <v>18</v>
      </c>
      <c r="H19" s="92" t="s">
        <v>32</v>
      </c>
      <c r="I19" s="94">
        <v>0</v>
      </c>
    </row>
    <row r="21" spans="2:12" ht="34.5" customHeight="1" thickBot="1" x14ac:dyDescent="0.25"/>
    <row r="22" spans="2:12" ht="13.5" customHeight="1" x14ac:dyDescent="0.2">
      <c r="B22" s="66" t="s">
        <v>33</v>
      </c>
      <c r="C22" s="63" t="s">
        <v>25</v>
      </c>
      <c r="D22" s="64"/>
      <c r="E22" s="65"/>
      <c r="F22" s="68" t="s">
        <v>10</v>
      </c>
      <c r="G22" s="68" t="s">
        <v>11</v>
      </c>
      <c r="H22" s="70" t="s">
        <v>19</v>
      </c>
      <c r="I22" s="70" t="s">
        <v>12</v>
      </c>
      <c r="J22" s="70" t="s">
        <v>8</v>
      </c>
      <c r="K22" s="70" t="s">
        <v>20</v>
      </c>
      <c r="L22" s="85" t="s">
        <v>21</v>
      </c>
    </row>
    <row r="23" spans="2:12" ht="12.75" customHeight="1" x14ac:dyDescent="0.2">
      <c r="B23" s="67"/>
      <c r="C23" s="17" t="s">
        <v>22</v>
      </c>
      <c r="D23" s="17" t="s">
        <v>23</v>
      </c>
      <c r="E23" s="17" t="s">
        <v>24</v>
      </c>
      <c r="F23" s="69"/>
      <c r="G23" s="69"/>
      <c r="H23" s="71"/>
      <c r="I23" s="71"/>
      <c r="J23" s="71"/>
      <c r="K23" s="71"/>
      <c r="L23" s="86"/>
    </row>
    <row r="24" spans="2:12" s="11" customFormat="1" x14ac:dyDescent="0.2">
      <c r="B24" s="47"/>
      <c r="C24" s="48"/>
      <c r="D24" s="48"/>
      <c r="E24" s="48"/>
      <c r="F24" s="44"/>
      <c r="G24" s="21"/>
      <c r="H24" s="21"/>
      <c r="I24" s="45"/>
      <c r="J24" s="46"/>
      <c r="K24" s="22"/>
      <c r="L24" s="23"/>
    </row>
    <row r="25" spans="2:12" ht="13.5" thickBot="1" x14ac:dyDescent="0.25">
      <c r="B25" s="18"/>
      <c r="C25" s="19"/>
      <c r="D25" s="20"/>
      <c r="E25" s="20"/>
      <c r="F25" s="24"/>
      <c r="G25" s="25"/>
      <c r="H25" s="26"/>
      <c r="I25" s="27"/>
      <c r="J25" s="28"/>
      <c r="K25" s="29"/>
      <c r="L25" s="30"/>
    </row>
  </sheetData>
  <mergeCells count="16">
    <mergeCell ref="J22:J23"/>
    <mergeCell ref="K22:K23"/>
    <mergeCell ref="C4:E4"/>
    <mergeCell ref="C5:E5"/>
    <mergeCell ref="L22:L23"/>
    <mergeCell ref="I22:I23"/>
    <mergeCell ref="B2:H2"/>
    <mergeCell ref="C22:E22"/>
    <mergeCell ref="B22:B23"/>
    <mergeCell ref="F22:F23"/>
    <mergeCell ref="G22:G23"/>
    <mergeCell ref="H22:H23"/>
    <mergeCell ref="B8:F8"/>
    <mergeCell ref="B4:B6"/>
    <mergeCell ref="C6:F6"/>
    <mergeCell ref="B7:F7"/>
  </mergeCells>
  <dataValidations count="2">
    <dataValidation type="list" operator="equal" allowBlank="1" showErrorMessage="1" sqref="G24:H24 G25" xr:uid="{00000000-0002-0000-0200-000003000000}">
      <formula1>"High, Medium, Low"</formula1>
    </dataValidation>
    <dataValidation type="list" operator="equal" allowBlank="1" showErrorMessage="1" sqref="J24:J25" xr:uid="{00000000-0002-0000-0200-000001000000}">
      <formula1>"Open, Accepted, Analyzing, Closed"</formula1>
    </dataValidation>
  </dataValidations>
  <pageMargins left="0.74791666666666667" right="0.74791666666666667" top="0.98402777777777783" bottom="0.98402777777777783" header="0.51180555555555562" footer="0.51180555555555562"/>
  <pageSetup paperSize="9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259A-4197-42D8-983F-192C367E502A}">
  <dimension ref="B1:L21"/>
  <sheetViews>
    <sheetView workbookViewId="0">
      <selection activeCell="D29" sqref="D29"/>
    </sheetView>
  </sheetViews>
  <sheetFormatPr defaultRowHeight="12.75" x14ac:dyDescent="0.2"/>
  <cols>
    <col min="1" max="1" width="1" customWidth="1"/>
    <col min="2" max="2" width="20.140625" customWidth="1"/>
    <col min="3" max="3" width="30.85546875" customWidth="1"/>
    <col min="4" max="4" width="28.28515625" customWidth="1"/>
    <col min="5" max="5" width="30.85546875" customWidth="1"/>
    <col min="6" max="6" width="16.5703125" customWidth="1"/>
    <col min="7" max="7" width="13.140625" customWidth="1"/>
    <col min="8" max="8" width="16.28515625" customWidth="1"/>
    <col min="9" max="10" width="12.42578125" customWidth="1"/>
    <col min="11" max="11" width="12.140625" customWidth="1"/>
    <col min="12" max="12" width="11.42578125" customWidth="1"/>
  </cols>
  <sheetData>
    <row r="1" spans="2:12" ht="13.5" thickBot="1" x14ac:dyDescent="0.25"/>
    <row r="2" spans="2:12" ht="31.5" customHeight="1" thickBot="1" x14ac:dyDescent="0.25">
      <c r="B2" s="62" t="s">
        <v>3</v>
      </c>
      <c r="C2" s="62"/>
      <c r="D2" s="62"/>
      <c r="E2" s="62"/>
      <c r="F2" s="62"/>
      <c r="G2" s="62"/>
      <c r="H2" s="62"/>
    </row>
    <row r="3" spans="2:12" ht="13.5" thickBot="1" x14ac:dyDescent="0.25"/>
    <row r="4" spans="2:12" x14ac:dyDescent="0.2">
      <c r="B4" s="74" t="s">
        <v>4</v>
      </c>
      <c r="C4" s="79" t="s">
        <v>5</v>
      </c>
      <c r="D4" s="80"/>
      <c r="E4" s="81"/>
      <c r="F4" s="39">
        <v>29</v>
      </c>
      <c r="G4" s="15"/>
    </row>
    <row r="5" spans="2:12" ht="13.5" thickBot="1" x14ac:dyDescent="0.25">
      <c r="B5" s="75"/>
      <c r="C5" s="82" t="s">
        <v>6</v>
      </c>
      <c r="D5" s="83"/>
      <c r="E5" s="84"/>
      <c r="F5" s="40">
        <v>0</v>
      </c>
      <c r="G5" s="16"/>
    </row>
    <row r="6" spans="2:12" ht="25.5" customHeight="1" x14ac:dyDescent="0.2">
      <c r="B6" s="75"/>
      <c r="C6" s="76" t="s">
        <v>7</v>
      </c>
      <c r="D6" s="76"/>
      <c r="E6" s="76"/>
      <c r="F6" s="76"/>
      <c r="G6" s="41">
        <f>F4+F5</f>
        <v>29</v>
      </c>
      <c r="I6" s="1"/>
      <c r="J6" s="1"/>
      <c r="K6" s="1"/>
      <c r="L6" s="1"/>
    </row>
    <row r="7" spans="2:12" x14ac:dyDescent="0.2">
      <c r="B7" s="77" t="s">
        <v>30</v>
      </c>
      <c r="C7" s="78"/>
      <c r="D7" s="78"/>
      <c r="E7" s="78"/>
      <c r="F7" s="78"/>
      <c r="G7" s="42">
        <v>0</v>
      </c>
      <c r="I7" s="1"/>
      <c r="J7" s="32"/>
      <c r="K7" s="32"/>
      <c r="L7" s="1"/>
    </row>
    <row r="8" spans="2:12" ht="22.5" customHeight="1" thickBot="1" x14ac:dyDescent="0.25">
      <c r="B8" s="72" t="s">
        <v>31</v>
      </c>
      <c r="C8" s="73"/>
      <c r="D8" s="73"/>
      <c r="E8" s="73"/>
      <c r="F8" s="73"/>
      <c r="G8" s="43">
        <f>SUM(G6:G7)</f>
        <v>29</v>
      </c>
      <c r="I8" s="1"/>
      <c r="J8" s="1"/>
      <c r="K8" s="1"/>
      <c r="L8" s="1"/>
    </row>
    <row r="10" spans="2:12" ht="13.5" thickBot="1" x14ac:dyDescent="0.25"/>
    <row r="11" spans="2:12" ht="36.75" customHeight="1" x14ac:dyDescent="0.2">
      <c r="B11" s="12" t="s">
        <v>15</v>
      </c>
      <c r="C11" s="33" t="s">
        <v>2</v>
      </c>
      <c r="D11" s="33" t="s">
        <v>16</v>
      </c>
      <c r="E11" s="33" t="s">
        <v>17</v>
      </c>
      <c r="F11" s="33" t="s">
        <v>26</v>
      </c>
      <c r="G11" s="33" t="s">
        <v>11</v>
      </c>
      <c r="H11" s="33" t="s">
        <v>9</v>
      </c>
      <c r="I11" s="34" t="s">
        <v>27</v>
      </c>
      <c r="J11" s="37"/>
      <c r="K11" s="37"/>
    </row>
    <row r="12" spans="2:12" ht="38.25" x14ac:dyDescent="0.2">
      <c r="B12" s="95" t="s">
        <v>53</v>
      </c>
      <c r="C12" s="96" t="s">
        <v>54</v>
      </c>
      <c r="D12" s="97">
        <v>1</v>
      </c>
      <c r="E12" s="97">
        <v>1</v>
      </c>
      <c r="F12" s="97">
        <v>0</v>
      </c>
      <c r="G12" s="96" t="s">
        <v>18</v>
      </c>
      <c r="H12" s="96" t="s">
        <v>63</v>
      </c>
      <c r="I12" s="98">
        <v>0</v>
      </c>
      <c r="J12" s="38"/>
      <c r="K12" s="38"/>
    </row>
    <row r="13" spans="2:12" ht="51" x14ac:dyDescent="0.2">
      <c r="B13" s="95" t="s">
        <v>55</v>
      </c>
      <c r="C13" s="96" t="s">
        <v>56</v>
      </c>
      <c r="D13" s="97">
        <v>1</v>
      </c>
      <c r="E13" s="97">
        <v>1</v>
      </c>
      <c r="F13" s="97">
        <v>0</v>
      </c>
      <c r="G13" s="96" t="s">
        <v>57</v>
      </c>
      <c r="H13" s="96" t="s">
        <v>62</v>
      </c>
      <c r="I13" s="98">
        <v>0</v>
      </c>
    </row>
    <row r="14" spans="2:12" ht="30.75" customHeight="1" x14ac:dyDescent="0.2">
      <c r="B14" s="95" t="s">
        <v>58</v>
      </c>
      <c r="C14" s="96" t="s">
        <v>59</v>
      </c>
      <c r="D14" s="97">
        <v>1</v>
      </c>
      <c r="E14" s="97">
        <v>1</v>
      </c>
      <c r="F14" s="97">
        <v>0</v>
      </c>
      <c r="G14" s="96" t="s">
        <v>60</v>
      </c>
      <c r="H14" s="96" t="s">
        <v>61</v>
      </c>
      <c r="I14" s="98">
        <v>0</v>
      </c>
    </row>
    <row r="15" spans="2:12" ht="13.5" thickBot="1" x14ac:dyDescent="0.25">
      <c r="B15" s="13"/>
      <c r="C15" s="14"/>
      <c r="D15" s="14"/>
      <c r="E15" s="14"/>
      <c r="F15" s="14"/>
      <c r="G15" s="14"/>
      <c r="H15" s="14"/>
      <c r="I15" s="31"/>
    </row>
    <row r="17" spans="2:12" ht="34.5" customHeight="1" thickBot="1" x14ac:dyDescent="0.25"/>
    <row r="18" spans="2:12" ht="13.5" customHeight="1" x14ac:dyDescent="0.2">
      <c r="B18" s="66" t="s">
        <v>33</v>
      </c>
      <c r="C18" s="63" t="s">
        <v>25</v>
      </c>
      <c r="D18" s="64"/>
      <c r="E18" s="65"/>
      <c r="F18" s="68" t="s">
        <v>10</v>
      </c>
      <c r="G18" s="68" t="s">
        <v>11</v>
      </c>
      <c r="H18" s="70" t="s">
        <v>19</v>
      </c>
      <c r="I18" s="70" t="s">
        <v>12</v>
      </c>
      <c r="J18" s="70" t="s">
        <v>8</v>
      </c>
      <c r="K18" s="70" t="s">
        <v>20</v>
      </c>
      <c r="L18" s="85" t="s">
        <v>21</v>
      </c>
    </row>
    <row r="19" spans="2:12" ht="12.75" customHeight="1" x14ac:dyDescent="0.2">
      <c r="B19" s="67"/>
      <c r="C19" s="17" t="s">
        <v>22</v>
      </c>
      <c r="D19" s="17" t="s">
        <v>23</v>
      </c>
      <c r="E19" s="17" t="s">
        <v>24</v>
      </c>
      <c r="F19" s="69"/>
      <c r="G19" s="69"/>
      <c r="H19" s="71"/>
      <c r="I19" s="71"/>
      <c r="J19" s="71"/>
      <c r="K19" s="71"/>
      <c r="L19" s="86"/>
    </row>
    <row r="20" spans="2:12" s="11" customFormat="1" x14ac:dyDescent="0.2">
      <c r="B20" s="47"/>
      <c r="C20" s="48"/>
      <c r="D20" s="48"/>
      <c r="E20" s="48"/>
      <c r="F20" s="44"/>
      <c r="G20" s="21"/>
      <c r="H20" s="21"/>
      <c r="I20" s="45"/>
      <c r="J20" s="46"/>
      <c r="K20" s="22"/>
      <c r="L20" s="23"/>
    </row>
    <row r="21" spans="2:12" ht="13.5" thickBot="1" x14ac:dyDescent="0.25">
      <c r="B21" s="18"/>
      <c r="C21" s="19"/>
      <c r="D21" s="20"/>
      <c r="E21" s="20"/>
      <c r="F21" s="24"/>
      <c r="G21" s="25"/>
      <c r="H21" s="26"/>
      <c r="I21" s="27"/>
      <c r="J21" s="28"/>
      <c r="K21" s="29"/>
      <c r="L21" s="30"/>
    </row>
  </sheetData>
  <mergeCells count="16">
    <mergeCell ref="I18:I19"/>
    <mergeCell ref="J18:J19"/>
    <mergeCell ref="K18:K19"/>
    <mergeCell ref="L18:L19"/>
    <mergeCell ref="B8:F8"/>
    <mergeCell ref="B18:B19"/>
    <mergeCell ref="C18:E18"/>
    <mergeCell ref="F18:F19"/>
    <mergeCell ref="G18:G19"/>
    <mergeCell ref="H18:H19"/>
    <mergeCell ref="B2:H2"/>
    <mergeCell ref="B4:B6"/>
    <mergeCell ref="C4:E4"/>
    <mergeCell ref="C5:E5"/>
    <mergeCell ref="C6:F6"/>
    <mergeCell ref="B7:F7"/>
  </mergeCells>
  <dataValidations count="2">
    <dataValidation type="list" operator="equal" allowBlank="1" showErrorMessage="1" sqref="G20:H20 G21" xr:uid="{375DB3CC-9A30-4284-A7FE-88B2ABA838E5}">
      <formula1>"High, Medium, Low"</formula1>
    </dataValidation>
    <dataValidation type="list" operator="equal" allowBlank="1" showErrorMessage="1" sqref="J20:J21" xr:uid="{25867F89-C1E9-4ADD-9258-7210578ED203}">
      <formula1>"Open, Accepted, Analyzing, 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Info</vt:lpstr>
      <vt:lpstr>Unit Test</vt:lpstr>
      <vt:lpstr>System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TMA</dc:creator>
  <cp:keywords/>
  <dc:description/>
  <cp:lastModifiedBy>Van Minh Le</cp:lastModifiedBy>
  <cp:revision>2</cp:revision>
  <cp:lastPrinted>2005-07-20T10:54:53Z</cp:lastPrinted>
  <dcterms:created xsi:type="dcterms:W3CDTF">2005-07-20T10:33:18Z</dcterms:created>
  <dcterms:modified xsi:type="dcterms:W3CDTF">2025-05-18T02:44:51Z</dcterms:modified>
</cp:coreProperties>
</file>